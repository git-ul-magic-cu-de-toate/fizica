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47A43E40-B9A2-4E48-8A0B-E9A18D078030}" xr6:coauthVersionLast="36" xr6:coauthVersionMax="36" xr10:uidLastSave="{00000000-0000-0000-0000-000000000000}"/>
  <bookViews>
    <workbookView xWindow="0" yWindow="0" windowWidth="23040" windowHeight="9060" xr2:uid="{35282EFD-26E5-4099-8846-A2FAA6140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7" i="1" l="1"/>
  <c r="H14" i="1"/>
  <c r="H11" i="1"/>
  <c r="H8" i="1"/>
  <c r="H5" i="1"/>
  <c r="H2" i="1"/>
  <c r="G19" i="1"/>
  <c r="G18" i="1"/>
  <c r="G17" i="1"/>
  <c r="G16" i="1"/>
  <c r="G15" i="1"/>
  <c r="J2" i="1" l="1"/>
  <c r="I2" i="1"/>
  <c r="G14" i="1" l="1"/>
  <c r="G13" i="1"/>
  <c r="G12" i="1"/>
  <c r="G11" i="1"/>
  <c r="G10" i="1"/>
  <c r="G9" i="1"/>
  <c r="G8" i="1"/>
  <c r="G7" i="1"/>
  <c r="G6" i="1"/>
  <c r="G5" i="1"/>
  <c r="G4" i="1"/>
  <c r="G3" i="1"/>
  <c r="G2" i="1"/>
  <c r="D5" i="1"/>
  <c r="F5" i="1" s="1"/>
  <c r="D8" i="1"/>
  <c r="F8" i="1" s="1"/>
  <c r="D11" i="1"/>
  <c r="D14" i="1"/>
  <c r="D17" i="1"/>
  <c r="D2" i="1"/>
  <c r="E2" i="1" s="1"/>
  <c r="E17" i="1" l="1"/>
  <c r="F17" i="1"/>
  <c r="I17" i="1" s="1"/>
  <c r="F14" i="1"/>
  <c r="I14" i="1" s="1"/>
  <c r="E14" i="1"/>
  <c r="F11" i="1"/>
  <c r="I11" i="1" s="1"/>
  <c r="E11" i="1"/>
  <c r="E8" i="1"/>
  <c r="I8" i="1"/>
  <c r="E5" i="1"/>
  <c r="F2" i="1"/>
  <c r="I5" i="1" l="1"/>
  <c r="K2" i="1" s="1"/>
</calcChain>
</file>

<file path=xl/sharedStrings.xml><?xml version="1.0" encoding="utf-8"?>
<sst xmlns="http://schemas.openxmlformats.org/spreadsheetml/2006/main" count="12" uniqueCount="11">
  <si>
    <t>R(cm)</t>
  </si>
  <si>
    <t>n</t>
  </si>
  <si>
    <r>
      <t>r</t>
    </r>
    <r>
      <rPr>
        <b/>
        <sz val="12"/>
        <color theme="1"/>
        <rFont val="Times New Roman"/>
        <family val="1"/>
      </rPr>
      <t>(cm)</t>
    </r>
  </si>
  <si>
    <r>
      <t>r</t>
    </r>
    <r>
      <rPr>
        <b/>
        <vertAlign val="subscript"/>
        <sz val="16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(cm)</t>
    </r>
  </si>
  <si>
    <r>
      <rPr>
        <b/>
        <sz val="16"/>
        <color theme="1"/>
        <rFont val="Calibri"/>
        <family val="2"/>
      </rPr>
      <t>σ</t>
    </r>
    <r>
      <rPr>
        <b/>
        <vertAlign val="subscript"/>
        <sz val="16"/>
        <color theme="1"/>
        <rFont val="Times New Roman"/>
        <family val="1"/>
      </rPr>
      <t>r</t>
    </r>
    <r>
      <rPr>
        <b/>
        <vertAlign val="subscript"/>
        <sz val="14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(cm)</t>
    </r>
  </si>
  <si>
    <r>
      <t>nr</t>
    </r>
    <r>
      <rPr>
        <b/>
        <vertAlign val="subscript"/>
        <sz val="16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(cm)</t>
    </r>
  </si>
  <si>
    <r>
      <rPr>
        <b/>
        <sz val="16"/>
        <color theme="1"/>
        <rFont val="Calibri"/>
        <family val="2"/>
      </rPr>
      <t>λ</t>
    </r>
    <r>
      <rPr>
        <b/>
        <vertAlign val="subscript"/>
        <sz val="16"/>
        <color theme="1"/>
        <rFont val="Times New Roman"/>
        <family val="1"/>
      </rPr>
      <t>m</t>
    </r>
    <r>
      <rPr>
        <b/>
        <sz val="16"/>
        <color theme="1"/>
        <rFont val="Calibri Light"/>
        <family val="2"/>
      </rPr>
      <t>=</t>
    </r>
    <r>
      <rPr>
        <b/>
        <sz val="16"/>
        <color theme="1"/>
        <rFont val="GreekC"/>
      </rPr>
      <t>r</t>
    </r>
    <r>
      <rPr>
        <b/>
        <vertAlign val="superscript"/>
        <sz val="16"/>
        <color theme="1"/>
        <rFont val="Calibri Light"/>
        <family val="2"/>
      </rPr>
      <t>2</t>
    </r>
    <r>
      <rPr>
        <b/>
        <sz val="16"/>
        <color theme="1"/>
        <rFont val="Calibri Light"/>
        <family val="2"/>
      </rPr>
      <t>(r</t>
    </r>
    <r>
      <rPr>
        <b/>
        <vertAlign val="subscript"/>
        <sz val="16"/>
        <color theme="1"/>
        <rFont val="Calibri Light"/>
        <family val="2"/>
      </rPr>
      <t>m</t>
    </r>
    <r>
      <rPr>
        <b/>
        <sz val="16"/>
        <color theme="1"/>
        <rFont val="Calibri Light"/>
        <family val="2"/>
      </rPr>
      <t>+R)/(nr</t>
    </r>
    <r>
      <rPr>
        <b/>
        <vertAlign val="subscript"/>
        <sz val="16"/>
        <color theme="1"/>
        <rFont val="Calibri Light"/>
        <family val="2"/>
      </rPr>
      <t>m</t>
    </r>
    <r>
      <rPr>
        <b/>
        <sz val="16"/>
        <color theme="1"/>
        <rFont val="Calibri Light"/>
        <family val="2"/>
      </rPr>
      <t>R)</t>
    </r>
    <r>
      <rPr>
        <b/>
        <sz val="12"/>
        <color theme="1"/>
        <rFont val="Times New Roman"/>
        <family val="1"/>
      </rPr>
      <t>(nm)</t>
    </r>
  </si>
  <si>
    <r>
      <rPr>
        <b/>
        <sz val="16"/>
        <color theme="1"/>
        <rFont val="Calibri"/>
        <family val="2"/>
      </rPr>
      <t>σ</t>
    </r>
    <r>
      <rPr>
        <b/>
        <vertAlign val="subscript"/>
        <sz val="16"/>
        <color theme="1"/>
        <rFont val="Calibri Light"/>
        <family val="2"/>
      </rPr>
      <t>λ</t>
    </r>
    <r>
      <rPr>
        <b/>
        <vertAlign val="subscript"/>
        <sz val="14"/>
        <color theme="1"/>
        <rFont val="Calibri Light"/>
        <family val="2"/>
      </rPr>
      <t>m</t>
    </r>
    <r>
      <rPr>
        <b/>
        <sz val="12"/>
        <color theme="1"/>
        <rFont val="Times New Roman"/>
        <family val="1"/>
      </rPr>
      <t>(nm)</t>
    </r>
  </si>
  <si>
    <r>
      <rPr>
        <b/>
        <sz val="16"/>
        <color theme="1"/>
        <rFont val="Calibri"/>
        <family val="2"/>
      </rPr>
      <t>λ</t>
    </r>
    <r>
      <rPr>
        <b/>
        <vertAlign val="subscript"/>
        <sz val="16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(nm)</t>
    </r>
  </si>
  <si>
    <r>
      <rPr>
        <b/>
        <sz val="16"/>
        <color theme="1"/>
        <rFont val="Calibri"/>
        <family val="2"/>
      </rPr>
      <t>λ</t>
    </r>
    <r>
      <rPr>
        <b/>
        <sz val="16"/>
        <color theme="1"/>
        <rFont val="Calibri Light"/>
        <family val="2"/>
      </rPr>
      <t>=</t>
    </r>
    <r>
      <rPr>
        <b/>
        <sz val="16"/>
        <color theme="1"/>
        <rFont val="GreekC"/>
      </rPr>
      <t>r</t>
    </r>
    <r>
      <rPr>
        <b/>
        <vertAlign val="superscript"/>
        <sz val="16"/>
        <color theme="1"/>
        <rFont val="Calibri Light"/>
        <family val="2"/>
      </rPr>
      <t>2</t>
    </r>
    <r>
      <rPr>
        <b/>
        <sz val="16"/>
        <color theme="1"/>
        <rFont val="Calibri Light"/>
        <family val="2"/>
      </rPr>
      <t>(r+R)/(nrR)</t>
    </r>
    <r>
      <rPr>
        <b/>
        <sz val="12"/>
        <color theme="1"/>
        <rFont val="Times New Roman"/>
        <family val="1"/>
      </rPr>
      <t>(nm)</t>
    </r>
  </si>
  <si>
    <r>
      <rPr>
        <sz val="14"/>
        <color theme="1"/>
        <rFont val="Calibri"/>
        <family val="2"/>
      </rPr>
      <t>λ</t>
    </r>
    <r>
      <rPr>
        <sz val="14"/>
        <color theme="1"/>
        <rFont val="Times New Roman"/>
        <family val="1"/>
      </rPr>
      <t>=(</t>
    </r>
    <r>
      <rPr>
        <sz val="14"/>
        <color theme="1"/>
        <rFont val="Calibri"/>
        <family val="2"/>
      </rPr>
      <t>λ</t>
    </r>
    <r>
      <rPr>
        <vertAlign val="subscript"/>
        <sz val="14"/>
        <color theme="1"/>
        <rFont val="Times New Roman"/>
        <family val="1"/>
      </rPr>
      <t>m</t>
    </r>
    <r>
      <rPr>
        <sz val="14"/>
        <color theme="1"/>
        <rFont val="Calibri"/>
        <family val="2"/>
      </rPr>
      <t>±</t>
    </r>
    <r>
      <rPr>
        <sz val="14"/>
        <color theme="1"/>
        <rFont val="Times New Roman"/>
        <family val="2"/>
      </rPr>
      <t>σ</t>
    </r>
    <r>
      <rPr>
        <vertAlign val="subscript"/>
        <sz val="14"/>
        <color theme="1"/>
        <rFont val="Times New Roman"/>
        <family val="1"/>
      </rPr>
      <t>λm</t>
    </r>
    <r>
      <rPr>
        <sz val="14"/>
        <color theme="1"/>
        <rFont val="Times New Roman"/>
        <family val="2"/>
      </rPr>
      <t>)=(497.45±12.59)nm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</si>
</sst>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vertAlign val="subscript"/>
      <sz val="16"/>
      <color theme="1"/>
      <name val="Times New Roman"/>
      <family val="1"/>
    </font>
    <font>
      <b/>
      <sz val="16"/>
      <color theme="1"/>
      <name val="Calibri"/>
      <family val="2"/>
    </font>
    <font>
      <b/>
      <vertAlign val="subscript"/>
      <sz val="14"/>
      <color theme="1"/>
      <name val="Times New Roman"/>
      <family val="1"/>
    </font>
    <font>
      <b/>
      <sz val="16"/>
      <color theme="1"/>
      <name val="Times New Roman"/>
      <family val="2"/>
    </font>
    <font>
      <b/>
      <sz val="16"/>
      <color theme="1"/>
      <name val="Calibri Light"/>
      <family val="2"/>
    </font>
    <font>
      <b/>
      <sz val="16"/>
      <color theme="1"/>
      <name val="GreekC"/>
    </font>
    <font>
      <b/>
      <vertAlign val="superscript"/>
      <sz val="16"/>
      <color theme="1"/>
      <name val="Calibri Light"/>
      <family val="2"/>
    </font>
    <font>
      <b/>
      <vertAlign val="subscript"/>
      <sz val="16"/>
      <color theme="1"/>
      <name val="Calibri Light"/>
      <family val="2"/>
    </font>
    <font>
      <b/>
      <vertAlign val="subscript"/>
      <sz val="14"/>
      <color theme="1"/>
      <name val="Calibri Light"/>
      <family val="2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678180</xdr:colOff>
      <xdr:row>11</xdr:row>
      <xdr:rowOff>152400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9D6B68-A57E-4DE4-9242-925853294803}"/>
            </a:ext>
          </a:extLst>
        </xdr:cNvPr>
        <xdr:cNvSpPr txBox="1"/>
      </xdr:nvSpPr>
      <xdr:spPr>
        <a:xfrm>
          <a:off x="6629400" y="2217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E15-EC43-4430-8CAA-B49173E7AD01}">
  <dimension ref="A1:K21"/>
  <sheetViews>
    <sheetView tabSelected="1" workbookViewId="0">
      <selection activeCell="A2" sqref="A2:A19"/>
    </sheetView>
  </sheetViews>
  <sheetFormatPr defaultRowHeight="13.8" x14ac:dyDescent="0.3"/>
  <cols>
    <col min="1" max="1" width="8.88671875" style="1"/>
    <col min="2" max="2" width="5" style="1" customWidth="1"/>
    <col min="3" max="4" width="8.88671875" style="1"/>
    <col min="5" max="5" width="10.21875" style="1" customWidth="1"/>
    <col min="6" max="6" width="11.6640625" style="1" customWidth="1"/>
    <col min="7" max="8" width="33.21875" style="1" customWidth="1"/>
    <col min="9" max="9" width="11" style="1" customWidth="1"/>
    <col min="10" max="10" width="10.109375" style="1" customWidth="1"/>
    <col min="11" max="11" width="11.21875" style="1" customWidth="1"/>
    <col min="12" max="16384" width="8.88671875" style="1"/>
  </cols>
  <sheetData>
    <row r="1" spans="1:11" s="2" customFormat="1" ht="24.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9</v>
      </c>
      <c r="H1" s="3" t="s">
        <v>6</v>
      </c>
      <c r="I1" s="3" t="s">
        <v>7</v>
      </c>
      <c r="J1" s="3" t="s">
        <v>8</v>
      </c>
      <c r="K1" s="3" t="s">
        <v>7</v>
      </c>
    </row>
    <row r="2" spans="1:11" x14ac:dyDescent="0.3">
      <c r="A2" s="5">
        <v>70</v>
      </c>
      <c r="B2" s="5">
        <v>2</v>
      </c>
      <c r="C2" s="1">
        <v>37</v>
      </c>
      <c r="D2" s="5">
        <f>ROUND(AVERAGE(C2:C4),2)</f>
        <v>39.200000000000003</v>
      </c>
      <c r="E2" s="5">
        <f>ROUND(SQRT(((C2-D2)^2+(C3-D2)^2+(C4-D2)^2)/6),2)</f>
        <v>1.3</v>
      </c>
      <c r="F2" s="5">
        <f>B2*D2</f>
        <v>78.400000000000006</v>
      </c>
      <c r="G2" s="1">
        <f>ROUND(0.05*0.05*(C2+A2)/(B2*C2*A2)*10^7,2)</f>
        <v>516.41</v>
      </c>
      <c r="H2" s="5">
        <f>ROUND(0.05*0.05*(D2+A2)/(F2*A2)*10^7,2)</f>
        <v>497.45</v>
      </c>
      <c r="I2" s="5">
        <f>ROUND(SQRT(((G2-H2)^2+(G3-H2)^2+(G4-H2)^2)/6),2)</f>
        <v>10.59</v>
      </c>
      <c r="J2" s="5">
        <f>ROUND((H2:H17),2)</f>
        <v>497.45</v>
      </c>
      <c r="K2" s="5">
        <f>ROUND(AVERAGE(I1:I19),2)</f>
        <v>12.59</v>
      </c>
    </row>
    <row r="3" spans="1:11" x14ac:dyDescent="0.3">
      <c r="A3" s="5"/>
      <c r="B3" s="5"/>
      <c r="C3" s="1">
        <v>39.1</v>
      </c>
      <c r="D3" s="5"/>
      <c r="E3" s="5"/>
      <c r="F3" s="5"/>
      <c r="G3" s="1">
        <f>ROUND(0.05*0.05*(C3+A2)/(B2*C3*A2)*10^7,2)</f>
        <v>498.26</v>
      </c>
      <c r="H3" s="5"/>
      <c r="I3" s="5"/>
      <c r="J3" s="5"/>
      <c r="K3" s="5"/>
    </row>
    <row r="4" spans="1:11" x14ac:dyDescent="0.3">
      <c r="A4" s="5"/>
      <c r="B4" s="5"/>
      <c r="C4" s="1">
        <v>41.5</v>
      </c>
      <c r="D4" s="5"/>
      <c r="E4" s="5"/>
      <c r="F4" s="5"/>
      <c r="G4" s="1">
        <f>ROUND(0.05*0.05*(C4+A2)/(B2*C4*A2)*10^7,2)</f>
        <v>479.78</v>
      </c>
      <c r="H4" s="5"/>
      <c r="I4" s="5"/>
      <c r="J4" s="5"/>
      <c r="K4" s="5"/>
    </row>
    <row r="5" spans="1:11" x14ac:dyDescent="0.3">
      <c r="A5" s="5"/>
      <c r="B5" s="5">
        <v>3</v>
      </c>
      <c r="C5" s="1">
        <v>19.899999999999999</v>
      </c>
      <c r="D5" s="5">
        <f t="shared" ref="D5" si="0">ROUND(AVERAGE(C5:C7),2)</f>
        <v>22.3</v>
      </c>
      <c r="E5" s="5">
        <f t="shared" ref="E5" si="1">ROUND(SQRT(((C5-D5)^2+(C6-D5)^2+(C7-D5)^2)/6),2)</f>
        <v>1.36</v>
      </c>
      <c r="F5" s="5">
        <f t="shared" ref="F5" si="2">B5*D5</f>
        <v>66.900000000000006</v>
      </c>
      <c r="G5" s="1">
        <f>ROUND(0.05*0.05*(C5+A2)/(B5*C5*A2)*10^7,2)</f>
        <v>537.80999999999995</v>
      </c>
      <c r="H5" s="5">
        <f>ROUND(0.05*0.05*(D5+A2)/(F5*A2)*10^7,2)</f>
        <v>492.74</v>
      </c>
      <c r="I5" s="5">
        <f>ROUND(SQRT(((G5-H5)^2+(G6-H5)^2+(G7-H5)^2)/6),2)</f>
        <v>23.29</v>
      </c>
      <c r="J5" s="5"/>
      <c r="K5" s="5"/>
    </row>
    <row r="6" spans="1:11" x14ac:dyDescent="0.3">
      <c r="A6" s="5"/>
      <c r="B6" s="5"/>
      <c r="C6" s="1">
        <v>24.6</v>
      </c>
      <c r="D6" s="5"/>
      <c r="E6" s="5"/>
      <c r="F6" s="5"/>
      <c r="G6" s="1">
        <f>ROUND(0.05*0.05*(C6+A2)/(B5*C6*A2)*10^7,2)</f>
        <v>457.8</v>
      </c>
      <c r="H6" s="5"/>
      <c r="I6" s="5"/>
      <c r="J6" s="5"/>
      <c r="K6" s="5"/>
    </row>
    <row r="7" spans="1:11" x14ac:dyDescent="0.3">
      <c r="A7" s="5"/>
      <c r="B7" s="5"/>
      <c r="C7" s="1">
        <v>22.4</v>
      </c>
      <c r="D7" s="5"/>
      <c r="E7" s="5"/>
      <c r="F7" s="5"/>
      <c r="G7" s="1">
        <f>ROUND(0.05*0.05*(C7+A2)/(B5*C7*A2)*10^7,2)</f>
        <v>491.07</v>
      </c>
      <c r="H7" s="5"/>
      <c r="I7" s="5"/>
      <c r="J7" s="5"/>
      <c r="K7" s="5"/>
    </row>
    <row r="8" spans="1:11" x14ac:dyDescent="0.3">
      <c r="A8" s="5"/>
      <c r="B8" s="5">
        <v>4</v>
      </c>
      <c r="C8" s="1">
        <v>14.8</v>
      </c>
      <c r="D8" s="5">
        <f t="shared" ref="D8" si="3">ROUND(AVERAGE(C8:C10),2)</f>
        <v>15.13</v>
      </c>
      <c r="E8" s="5">
        <f t="shared" ref="E8" si="4">ROUND(SQRT(((C8-D8)^2+(C9-D8)^2+(C10-D8)^2)/6),2)</f>
        <v>0.24</v>
      </c>
      <c r="F8" s="5">
        <f t="shared" ref="F8" si="5">B8*D8</f>
        <v>60.52</v>
      </c>
      <c r="G8" s="1">
        <f>ROUND(0.05*0.05*(C8+A2)/(B8*C8*A2)*10^7,2)</f>
        <v>511.58</v>
      </c>
      <c r="H8" s="5">
        <f>ROUND(0.05*0.05*(D8+A2)/(F8*A2)*10^7,2)</f>
        <v>502.37</v>
      </c>
      <c r="I8" s="5">
        <f t="shared" ref="I8" si="6">ROUND(SQRT(((G8-H8)^2+(G9-H8)^2+(G10-H8)^2)/6),2)</f>
        <v>6.49</v>
      </c>
      <c r="J8" s="5"/>
      <c r="K8" s="5"/>
    </row>
    <row r="9" spans="1:11" x14ac:dyDescent="0.3">
      <c r="A9" s="5"/>
      <c r="B9" s="5"/>
      <c r="C9" s="1">
        <v>15.6</v>
      </c>
      <c r="D9" s="5"/>
      <c r="E9" s="5"/>
      <c r="F9" s="5"/>
      <c r="G9" s="1">
        <f>ROUND(0.05*0.05*(C9+A2)/(B8*C9*A2)*10^7,2)</f>
        <v>489.93</v>
      </c>
      <c r="H9" s="5"/>
      <c r="I9" s="5"/>
      <c r="J9" s="5"/>
      <c r="K9" s="5"/>
    </row>
    <row r="10" spans="1:11" x14ac:dyDescent="0.3">
      <c r="A10" s="5"/>
      <c r="B10" s="5"/>
      <c r="C10" s="1">
        <v>15</v>
      </c>
      <c r="D10" s="5"/>
      <c r="E10" s="5"/>
      <c r="F10" s="5"/>
      <c r="G10" s="1">
        <f>ROUND(0.05*0.05*(C10+A2)/(B8*C10*A2)*10^7,2)</f>
        <v>505.95</v>
      </c>
      <c r="H10" s="5"/>
      <c r="I10" s="5"/>
      <c r="J10" s="5"/>
      <c r="K10" s="5"/>
    </row>
    <row r="11" spans="1:11" x14ac:dyDescent="0.3">
      <c r="A11" s="5"/>
      <c r="B11" s="5">
        <v>5</v>
      </c>
      <c r="C11" s="1">
        <v>11</v>
      </c>
      <c r="D11" s="5">
        <f t="shared" ref="D11" si="7">ROUND(AVERAGE(C11:C13),2)</f>
        <v>11.8</v>
      </c>
      <c r="E11" s="5">
        <f t="shared" ref="E11" si="8">ROUND(SQRT(((C11-D11)^2+(C12-D11)^2+(C13-D11)^2)/6),2)</f>
        <v>0.42</v>
      </c>
      <c r="F11" s="5">
        <f t="shared" ref="F11" si="9">B11*D11</f>
        <v>59</v>
      </c>
      <c r="G11" s="1">
        <f>ROUND(0.05*0.05*(C11+A2)/(B11*C11*A2)*10^7,2)</f>
        <v>525.97</v>
      </c>
      <c r="H11" s="5">
        <f>ROUND(0.05*0.05*(D11+A2)/(F11*A2)*10^7,2)</f>
        <v>495.16</v>
      </c>
      <c r="I11" s="5">
        <f t="shared" ref="I11" si="10">ROUND(SQRT(((G11-H11)^2+(G12-H11)^2+(G13-H11)^2)/6),2)</f>
        <v>15.38</v>
      </c>
      <c r="J11" s="5"/>
      <c r="K11" s="5"/>
    </row>
    <row r="12" spans="1:11" x14ac:dyDescent="0.3">
      <c r="A12" s="5"/>
      <c r="B12" s="5"/>
      <c r="C12" s="1">
        <v>12.4</v>
      </c>
      <c r="D12" s="5"/>
      <c r="E12" s="5"/>
      <c r="F12" s="5"/>
      <c r="G12" s="1">
        <f>ROUND(0.05*0.05*(C12+A2)/(B11*C12*A2)*10^7,2)</f>
        <v>474.65</v>
      </c>
      <c r="H12" s="5"/>
      <c r="I12" s="5"/>
      <c r="J12" s="5"/>
      <c r="K12" s="5"/>
    </row>
    <row r="13" spans="1:11" x14ac:dyDescent="0.3">
      <c r="A13" s="5"/>
      <c r="B13" s="5"/>
      <c r="C13" s="1">
        <v>12</v>
      </c>
      <c r="D13" s="5"/>
      <c r="E13" s="5"/>
      <c r="F13" s="5"/>
      <c r="G13" s="1">
        <f>ROUND(0.05*0.05*(C13+A2)/(B11*C13*A2)*10^7,2)</f>
        <v>488.1</v>
      </c>
      <c r="H13" s="5"/>
      <c r="I13" s="5"/>
      <c r="J13" s="5"/>
      <c r="K13" s="5"/>
    </row>
    <row r="14" spans="1:11" x14ac:dyDescent="0.3">
      <c r="A14" s="5"/>
      <c r="B14" s="5">
        <v>6</v>
      </c>
      <c r="C14" s="1">
        <v>9.1</v>
      </c>
      <c r="D14" s="5">
        <f t="shared" ref="D14" si="11">ROUND(AVERAGE(C14:C16),2)</f>
        <v>9.57</v>
      </c>
      <c r="E14" s="5">
        <f t="shared" ref="E14" si="12">ROUND(SQRT(((C14-D14)^2+(C15-D14)^2+(C16-D14)^2)/6),2)</f>
        <v>0.26</v>
      </c>
      <c r="F14" s="5">
        <f t="shared" ref="F14" si="13">B14*D14</f>
        <v>57.42</v>
      </c>
      <c r="G14" s="1">
        <f>ROUND(0.05*0.05*(C14+A2)/(B14*C14*A2)*10^7,2)</f>
        <v>517.4</v>
      </c>
      <c r="H14" s="5">
        <f>ROUND(0.05*0.05*(D14+A2)/(F14*A2)*10^7,2)</f>
        <v>494.91</v>
      </c>
      <c r="I14" s="5">
        <f t="shared" ref="I14" si="14">ROUND(SQRT(((G14-H14)^2+(G15-H14)^2+(G16-H14)^2)/6),2)</f>
        <v>11.96</v>
      </c>
      <c r="J14" s="5"/>
      <c r="K14" s="5"/>
    </row>
    <row r="15" spans="1:11" x14ac:dyDescent="0.3">
      <c r="A15" s="5"/>
      <c r="B15" s="5"/>
      <c r="C15" s="1">
        <v>9.6</v>
      </c>
      <c r="D15" s="5"/>
      <c r="E15" s="5"/>
      <c r="F15" s="5"/>
      <c r="G15" s="1">
        <f>ROUND(0.05*0.05*(C15+A2)/(B14*C15*A2)*10^7,2)</f>
        <v>493.55</v>
      </c>
      <c r="H15" s="5"/>
      <c r="I15" s="5"/>
      <c r="J15" s="5"/>
      <c r="K15" s="5"/>
    </row>
    <row r="16" spans="1:11" x14ac:dyDescent="0.3">
      <c r="A16" s="5"/>
      <c r="B16" s="5"/>
      <c r="C16" s="1">
        <v>10</v>
      </c>
      <c r="D16" s="5"/>
      <c r="E16" s="5"/>
      <c r="F16" s="5"/>
      <c r="G16" s="1">
        <f>ROUND(0.05*0.05*(C16+A2)/(B14*C16*A2)*10^7,2)</f>
        <v>476.19</v>
      </c>
      <c r="H16" s="5"/>
      <c r="I16" s="5"/>
      <c r="J16" s="5"/>
      <c r="K16" s="5"/>
    </row>
    <row r="17" spans="1:11" x14ac:dyDescent="0.3">
      <c r="A17" s="5"/>
      <c r="B17" s="5">
        <v>7</v>
      </c>
      <c r="C17" s="1">
        <v>8.1</v>
      </c>
      <c r="D17" s="5">
        <f t="shared" ref="D17" si="15">ROUND(AVERAGE(C17:C19),2)</f>
        <v>8.1300000000000008</v>
      </c>
      <c r="E17" s="5">
        <f t="shared" ref="E17" si="16">ROUND(SQRT(((C17-D17)^2+(C18-D17)^2+(C19-D17)^2)/6),2)</f>
        <v>0.15</v>
      </c>
      <c r="F17" s="5">
        <f t="shared" ref="F17" si="17">B17*D17</f>
        <v>56.910000000000004</v>
      </c>
      <c r="G17" s="1">
        <f>ROUND(0.05*0.05*(C17+A2)/(B17*C17*A2)*10^7,2)</f>
        <v>491.94</v>
      </c>
      <c r="H17" s="5">
        <f>ROUND(0.05*0.05*(D17+A2)/(F17*A2)*10^7,2)</f>
        <v>490.31</v>
      </c>
      <c r="I17" s="5">
        <f t="shared" ref="I17" si="18">ROUND(SQRT(((G17-H17)^2+(G18-H17)^2+(G19-H17)^2)/6),2)</f>
        <v>7.81</v>
      </c>
      <c r="J17" s="5"/>
      <c r="K17" s="5"/>
    </row>
    <row r="18" spans="1:11" x14ac:dyDescent="0.3">
      <c r="A18" s="5"/>
      <c r="B18" s="5"/>
      <c r="C18" s="1">
        <v>8.4</v>
      </c>
      <c r="D18" s="5"/>
      <c r="E18" s="5"/>
      <c r="F18" s="5"/>
      <c r="G18" s="1">
        <f>ROUND(0.05*0.05*(C18+A2)/(B17*C18*A2)*10^7,2)</f>
        <v>476.19</v>
      </c>
      <c r="H18" s="5"/>
      <c r="I18" s="5"/>
      <c r="J18" s="5"/>
      <c r="K18" s="5"/>
    </row>
    <row r="19" spans="1:11" x14ac:dyDescent="0.3">
      <c r="A19" s="5"/>
      <c r="B19" s="5"/>
      <c r="C19" s="1">
        <v>7.9</v>
      </c>
      <c r="D19" s="5"/>
      <c r="E19" s="5"/>
      <c r="F19" s="5"/>
      <c r="G19" s="1">
        <f>ROUND(0.05*0.05*(C19+A2)/(B17*C19*A2)*10^7,2)</f>
        <v>503.1</v>
      </c>
      <c r="H19" s="5"/>
      <c r="I19" s="5"/>
      <c r="J19" s="5"/>
      <c r="K19" s="5"/>
    </row>
    <row r="21" spans="1:11" ht="20.399999999999999" x14ac:dyDescent="0.3">
      <c r="H21" s="4" t="s">
        <v>10</v>
      </c>
    </row>
  </sheetData>
  <mergeCells count="39">
    <mergeCell ref="B17:B19"/>
    <mergeCell ref="A2:A19"/>
    <mergeCell ref="D2:D4"/>
    <mergeCell ref="D5:D7"/>
    <mergeCell ref="D8:D10"/>
    <mergeCell ref="D11:D13"/>
    <mergeCell ref="D14:D16"/>
    <mergeCell ref="D17:D19"/>
    <mergeCell ref="B2:B4"/>
    <mergeCell ref="B5:B7"/>
    <mergeCell ref="B8:B10"/>
    <mergeCell ref="B11:B13"/>
    <mergeCell ref="B14:B16"/>
    <mergeCell ref="E2:E4"/>
    <mergeCell ref="F2:F4"/>
    <mergeCell ref="E5:E7"/>
    <mergeCell ref="E8:E10"/>
    <mergeCell ref="E11:E13"/>
    <mergeCell ref="H17:H19"/>
    <mergeCell ref="E17:E19"/>
    <mergeCell ref="F5:F7"/>
    <mergeCell ref="F8:F10"/>
    <mergeCell ref="F11:F13"/>
    <mergeCell ref="F14:F16"/>
    <mergeCell ref="F17:F19"/>
    <mergeCell ref="E14:E16"/>
    <mergeCell ref="H2:H4"/>
    <mergeCell ref="H5:H7"/>
    <mergeCell ref="H8:H10"/>
    <mergeCell ref="H11:H13"/>
    <mergeCell ref="H14:H16"/>
    <mergeCell ref="J2:J19"/>
    <mergeCell ref="K2:K19"/>
    <mergeCell ref="I2:I4"/>
    <mergeCell ref="I5:I7"/>
    <mergeCell ref="I8:I10"/>
    <mergeCell ref="I11:I13"/>
    <mergeCell ref="I14:I16"/>
    <mergeCell ref="I17:I19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2019-04-28T09:47:01Z</dcterms:created>
  <dcterms:modified xsi:type="dcterms:W3CDTF">2019-05-11T13:13:05Z</dcterms:modified>
</cp:coreProperties>
</file>