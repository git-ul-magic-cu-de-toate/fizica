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  <sheet state="visible" name="Copie a foii Foaie1" sheetId="2" r:id="rId5"/>
  </sheets>
  <definedNames/>
  <calcPr/>
</workbook>
</file>

<file path=xl/sharedStrings.xml><?xml version="1.0" encoding="utf-8"?>
<sst xmlns="http://schemas.openxmlformats.org/spreadsheetml/2006/main" count="38" uniqueCount="15">
  <si>
    <t>Nr. măs.</t>
  </si>
  <si>
    <t>10 T (s)</t>
  </si>
  <si>
    <t>T (s)</t>
  </si>
  <si>
    <t>(Ti - Tm)^2</t>
  </si>
  <si>
    <t>Perioada medie Tm</t>
  </si>
  <si>
    <t>Sigma 1</t>
  </si>
  <si>
    <t>minus</t>
  </si>
  <si>
    <t>plus</t>
  </si>
  <si>
    <t>Deviația standard a unei măsurători</t>
  </si>
  <si>
    <t>Sigma 2</t>
  </si>
  <si>
    <t>Eroarea standard a mediei</t>
  </si>
  <si>
    <t>Sigma 3</t>
  </si>
  <si>
    <t>Accelerația gravitațională</t>
  </si>
  <si>
    <t>România</t>
  </si>
  <si>
    <t>Eroare accelerație gravitațională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</si>
</sst>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6FFD4"/>
        <bgColor rgb="FFC6FFD4"/>
      </patternFill>
    </fill>
    <fill>
      <patternFill patternType="solid">
        <fgColor rgb="FFFFF1DC"/>
        <bgColor rgb="FFFFF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0" fontId="3" numFmtId="0" xfId="0" applyBorder="1" applyFont="1"/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75"/>
    <col customWidth="1" min="5" max="5" width="10.25"/>
    <col customWidth="1" min="6" max="6" width="17.25"/>
    <col customWidth="1" min="7" max="7" width="34.63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>
        <v>1.0</v>
      </c>
      <c r="C4" s="2">
        <v>18.43</v>
      </c>
      <c r="D4" s="3">
        <f t="shared" ref="D4:D18" si="1">C4/10</f>
        <v>1.843</v>
      </c>
      <c r="E4" s="4">
        <f>(D4-G5)^2</f>
        <v>0.00004624</v>
      </c>
      <c r="G4" s="5" t="s">
        <v>4</v>
      </c>
      <c r="I4" s="6" t="s">
        <v>5</v>
      </c>
      <c r="J4" s="7"/>
    </row>
    <row r="5">
      <c r="B5" s="2">
        <v>2.0</v>
      </c>
      <c r="C5" s="2">
        <v>18.29</v>
      </c>
      <c r="D5" s="3">
        <f t="shared" si="1"/>
        <v>1.829</v>
      </c>
      <c r="E5" s="4">
        <f>(D5-G5)^2</f>
        <v>0.00005184</v>
      </c>
      <c r="G5" s="3">
        <f>AVERAGE(D4:D18)</f>
        <v>1.8362</v>
      </c>
      <c r="I5" s="8" t="s">
        <v>6</v>
      </c>
      <c r="J5" s="8" t="s">
        <v>7</v>
      </c>
    </row>
    <row r="6">
      <c r="B6" s="2">
        <v>3.0</v>
      </c>
      <c r="C6" s="2">
        <v>18.29</v>
      </c>
      <c r="D6" s="3">
        <f t="shared" si="1"/>
        <v>1.829</v>
      </c>
      <c r="E6" s="4">
        <f>(D6-G5)^2</f>
        <v>0.00005184</v>
      </c>
      <c r="G6" s="9"/>
      <c r="I6" s="4">
        <f>G5-G11</f>
        <v>1.834138563</v>
      </c>
      <c r="J6" s="4">
        <f>G5+G11</f>
        <v>1.838261437</v>
      </c>
    </row>
    <row r="7">
      <c r="B7" s="2">
        <v>4.0</v>
      </c>
      <c r="C7" s="2">
        <v>18.31</v>
      </c>
      <c r="D7" s="3">
        <f t="shared" si="1"/>
        <v>1.831</v>
      </c>
      <c r="E7" s="4">
        <f>(D7-G5)^2</f>
        <v>0.00002704</v>
      </c>
      <c r="G7" s="5" t="s">
        <v>8</v>
      </c>
    </row>
    <row r="8">
      <c r="B8" s="2">
        <v>5.0</v>
      </c>
      <c r="C8" s="2">
        <v>18.45</v>
      </c>
      <c r="D8" s="3">
        <f t="shared" si="1"/>
        <v>1.845</v>
      </c>
      <c r="E8" s="4">
        <f>(D8-G5)^2</f>
        <v>0.00007744</v>
      </c>
      <c r="G8" s="3">
        <f>SQRT(SUM(E4:E18)/14)</f>
        <v>0.007983912396</v>
      </c>
      <c r="I8" s="6" t="s">
        <v>9</v>
      </c>
      <c r="J8" s="7"/>
    </row>
    <row r="9">
      <c r="B9" s="2">
        <v>6.0</v>
      </c>
      <c r="C9" s="2">
        <v>18.39</v>
      </c>
      <c r="D9" s="3">
        <f t="shared" si="1"/>
        <v>1.839</v>
      </c>
      <c r="E9" s="4">
        <f>(D9-G5)^2</f>
        <v>0.00000784</v>
      </c>
      <c r="G9" s="9"/>
      <c r="I9" s="8" t="s">
        <v>6</v>
      </c>
      <c r="J9" s="8" t="s">
        <v>7</v>
      </c>
    </row>
    <row r="10">
      <c r="B10" s="2">
        <v>7.0</v>
      </c>
      <c r="C10" s="2">
        <v>18.48</v>
      </c>
      <c r="D10" s="3">
        <f t="shared" si="1"/>
        <v>1.848</v>
      </c>
      <c r="E10" s="4">
        <f>(D10-G5)^2</f>
        <v>0.00013924</v>
      </c>
      <c r="G10" s="5" t="s">
        <v>10</v>
      </c>
      <c r="I10" s="4">
        <f>G5-2*G11</f>
        <v>1.832077125</v>
      </c>
      <c r="J10" s="4">
        <f>G5+2*G11</f>
        <v>1.840322875</v>
      </c>
    </row>
    <row r="11">
      <c r="B11" s="2">
        <v>8.0</v>
      </c>
      <c r="C11" s="2">
        <v>18.33</v>
      </c>
      <c r="D11" s="3">
        <f t="shared" si="1"/>
        <v>1.833</v>
      </c>
      <c r="E11" s="4">
        <f>(D11-G5)^2</f>
        <v>0.00001024</v>
      </c>
      <c r="G11" s="3">
        <f>G8/SQRT(15)</f>
        <v>0.002061437316</v>
      </c>
    </row>
    <row r="12">
      <c r="B12" s="2">
        <v>9.0</v>
      </c>
      <c r="C12" s="2">
        <v>18.35</v>
      </c>
      <c r="D12" s="3">
        <f t="shared" si="1"/>
        <v>1.835</v>
      </c>
      <c r="E12" s="4">
        <f>(D12-G5)^2</f>
        <v>0.00000144</v>
      </c>
      <c r="G12" s="9"/>
      <c r="I12" s="6" t="s">
        <v>11</v>
      </c>
      <c r="J12" s="7"/>
    </row>
    <row r="13">
      <c r="B13" s="2">
        <v>10.0</v>
      </c>
      <c r="C13" s="2">
        <v>18.49</v>
      </c>
      <c r="D13" s="3">
        <f t="shared" si="1"/>
        <v>1.849</v>
      </c>
      <c r="E13" s="4">
        <f>(D13-G5)^2</f>
        <v>0.00016384</v>
      </c>
      <c r="G13" s="5" t="s">
        <v>12</v>
      </c>
      <c r="I13" s="8" t="s">
        <v>6</v>
      </c>
      <c r="J13" s="8" t="s">
        <v>7</v>
      </c>
    </row>
    <row r="14">
      <c r="B14" s="2">
        <v>11.0</v>
      </c>
      <c r="C14" s="2">
        <v>18.45</v>
      </c>
      <c r="D14" s="3">
        <f t="shared" si="1"/>
        <v>1.845</v>
      </c>
      <c r="E14" s="4">
        <f>(D14-G5)^2</f>
        <v>0.00007744</v>
      </c>
      <c r="G14" s="3">
        <f>(2*3.14/G5)^2*0.85</f>
        <v>9.942560609</v>
      </c>
      <c r="I14" s="4">
        <f>G5-3*G11</f>
        <v>1.830015688</v>
      </c>
      <c r="J14" s="4">
        <f>G5+3*G11</f>
        <v>1.842384312</v>
      </c>
    </row>
    <row r="15">
      <c r="B15" s="2">
        <v>12.0</v>
      </c>
      <c r="C15" s="2">
        <v>18.27</v>
      </c>
      <c r="D15" s="3">
        <f t="shared" si="1"/>
        <v>1.827</v>
      </c>
      <c r="E15" s="4">
        <f>(D15-G5)^2</f>
        <v>0.00008464</v>
      </c>
      <c r="G15" s="9"/>
    </row>
    <row r="16">
      <c r="B16" s="2">
        <v>13.0</v>
      </c>
      <c r="C16" s="2">
        <v>18.35</v>
      </c>
      <c r="D16" s="3">
        <f t="shared" si="1"/>
        <v>1.835</v>
      </c>
      <c r="E16" s="4">
        <f>(D16-G5)^2</f>
        <v>0.00000144</v>
      </c>
      <c r="G16" s="5" t="s">
        <v>13</v>
      </c>
    </row>
    <row r="17">
      <c r="B17" s="2">
        <v>14.0</v>
      </c>
      <c r="C17" s="2">
        <v>18.28</v>
      </c>
      <c r="D17" s="3">
        <f t="shared" si="1"/>
        <v>1.828</v>
      </c>
      <c r="E17" s="4">
        <f>(D17-G5)^2</f>
        <v>0.00006724</v>
      </c>
      <c r="G17" s="2">
        <v>9.806</v>
      </c>
    </row>
    <row r="18">
      <c r="B18" s="2">
        <v>15.0</v>
      </c>
      <c r="C18" s="2">
        <v>18.27</v>
      </c>
      <c r="D18" s="3">
        <f t="shared" si="1"/>
        <v>1.827</v>
      </c>
      <c r="E18" s="4">
        <f>(D18-G5)^2</f>
        <v>0.00008464</v>
      </c>
      <c r="G18" s="9"/>
    </row>
    <row r="19">
      <c r="G19" s="5" t="s">
        <v>14</v>
      </c>
    </row>
    <row r="20">
      <c r="G20" s="3">
        <f>G14-G17</f>
        <v>0.1365606087</v>
      </c>
    </row>
    <row r="21">
      <c r="G21" s="9"/>
    </row>
  </sheetData>
  <mergeCells count="3">
    <mergeCell ref="I4:J4"/>
    <mergeCell ref="I8:J8"/>
    <mergeCell ref="I12:J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75"/>
    <col customWidth="1" min="5" max="5" width="10.25"/>
    <col customWidth="1" min="6" max="6" width="17.25"/>
    <col customWidth="1" min="7" max="7" width="34.63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>
        <v>1.0</v>
      </c>
      <c r="C4" s="2"/>
      <c r="D4" s="2">
        <v>1.164</v>
      </c>
      <c r="E4" s="4">
        <f>(D4-G5)^2</f>
        <v>0.00004444444444</v>
      </c>
      <c r="G4" s="5" t="s">
        <v>4</v>
      </c>
      <c r="I4" s="6" t="s">
        <v>5</v>
      </c>
      <c r="J4" s="7"/>
    </row>
    <row r="5">
      <c r="B5" s="2">
        <v>2.0</v>
      </c>
      <c r="C5" s="2"/>
      <c r="D5" s="2">
        <v>1.173</v>
      </c>
      <c r="E5" s="4">
        <f>(D5-G5)^2</f>
        <v>0.000005444444444</v>
      </c>
      <c r="G5" s="3">
        <f>AVERAGE(D4:D9)</f>
        <v>1.170666667</v>
      </c>
      <c r="I5" s="8" t="s">
        <v>6</v>
      </c>
      <c r="J5" s="8" t="s">
        <v>7</v>
      </c>
    </row>
    <row r="6">
      <c r="B6" s="2">
        <v>3.0</v>
      </c>
      <c r="C6" s="2"/>
      <c r="D6" s="2">
        <v>1.177</v>
      </c>
      <c r="E6" s="4">
        <f>(D6-G5)^2</f>
        <v>0.00004011111111</v>
      </c>
      <c r="G6" s="9"/>
      <c r="I6" s="4">
        <f>G5-G11</f>
        <v>1.168347663</v>
      </c>
      <c r="J6" s="4">
        <f>G5+G11</f>
        <v>1.17298567</v>
      </c>
    </row>
    <row r="7">
      <c r="B7" s="2">
        <v>4.0</v>
      </c>
      <c r="C7" s="2"/>
      <c r="D7" s="2">
        <v>1.156</v>
      </c>
      <c r="E7" s="4">
        <f>(D7-G5)^2</f>
        <v>0.0002151111111</v>
      </c>
      <c r="G7" s="5" t="s">
        <v>8</v>
      </c>
    </row>
    <row r="8">
      <c r="B8" s="2">
        <v>5.0</v>
      </c>
      <c r="C8" s="2"/>
      <c r="D8" s="2">
        <v>1.18</v>
      </c>
      <c r="E8" s="4">
        <f>(D8-G5)^2</f>
        <v>0.00008711111111</v>
      </c>
      <c r="G8" s="3">
        <f>SQRT(SUM(E4:E9)/5)</f>
        <v>0.00898146239</v>
      </c>
      <c r="I8" s="6" t="s">
        <v>9</v>
      </c>
      <c r="J8" s="7"/>
    </row>
    <row r="9">
      <c r="B9" s="2">
        <v>6.0</v>
      </c>
      <c r="C9" s="2"/>
      <c r="D9" s="2">
        <v>1.174</v>
      </c>
      <c r="E9" s="4">
        <f>(D9-G5)^2</f>
        <v>0.00001111111111</v>
      </c>
      <c r="G9" s="9"/>
      <c r="I9" s="8" t="s">
        <v>6</v>
      </c>
      <c r="J9" s="8" t="s">
        <v>7</v>
      </c>
    </row>
    <row r="10">
      <c r="B10" s="2">
        <v>7.0</v>
      </c>
      <c r="C10" s="2"/>
      <c r="D10" s="2">
        <v>0.0</v>
      </c>
      <c r="E10" s="4">
        <f>(D10-G5)^2</f>
        <v>1.370460444</v>
      </c>
      <c r="G10" s="5" t="s">
        <v>10</v>
      </c>
      <c r="I10" s="4">
        <f>G5-2*G11</f>
        <v>1.166028659</v>
      </c>
      <c r="J10" s="4">
        <f>G5+2*G11</f>
        <v>1.175304674</v>
      </c>
    </row>
    <row r="11">
      <c r="B11" s="2">
        <v>8.0</v>
      </c>
      <c r="C11" s="2"/>
      <c r="D11" s="3">
        <f t="shared" ref="D11:D18" si="1">C11/10</f>
        <v>0</v>
      </c>
      <c r="E11" s="4">
        <f>(D11-G5)^2</f>
        <v>1.370460444</v>
      </c>
      <c r="G11" s="3">
        <f>G8/SQRT(15)</f>
        <v>0.002319003617</v>
      </c>
    </row>
    <row r="12">
      <c r="B12" s="2">
        <v>9.0</v>
      </c>
      <c r="C12" s="2"/>
      <c r="D12" s="3">
        <f t="shared" si="1"/>
        <v>0</v>
      </c>
      <c r="E12" s="4">
        <f>(D12-G5)^2</f>
        <v>1.370460444</v>
      </c>
      <c r="G12" s="9"/>
      <c r="I12" s="6" t="s">
        <v>11</v>
      </c>
      <c r="J12" s="7"/>
    </row>
    <row r="13">
      <c r="B13" s="2">
        <v>10.0</v>
      </c>
      <c r="C13" s="2"/>
      <c r="D13" s="3">
        <f t="shared" si="1"/>
        <v>0</v>
      </c>
      <c r="E13" s="4">
        <f>(D13-G5)^2</f>
        <v>1.370460444</v>
      </c>
      <c r="G13" s="5" t="s">
        <v>12</v>
      </c>
      <c r="I13" s="8" t="s">
        <v>6</v>
      </c>
      <c r="J13" s="8" t="s">
        <v>7</v>
      </c>
    </row>
    <row r="14">
      <c r="B14" s="2">
        <v>11.0</v>
      </c>
      <c r="C14" s="2"/>
      <c r="D14" s="3">
        <f t="shared" si="1"/>
        <v>0</v>
      </c>
      <c r="E14" s="4">
        <f>(D14-G5)^2</f>
        <v>1.370460444</v>
      </c>
      <c r="G14" s="3">
        <f>(2*3.14/G5)^2*0.85</f>
        <v>24.46085922</v>
      </c>
      <c r="I14" s="4">
        <f>G5-3*G11</f>
        <v>1.163709656</v>
      </c>
      <c r="J14" s="4">
        <f>G5+3*G11</f>
        <v>1.177623678</v>
      </c>
    </row>
    <row r="15">
      <c r="B15" s="2">
        <v>12.0</v>
      </c>
      <c r="C15" s="2"/>
      <c r="D15" s="3">
        <f t="shared" si="1"/>
        <v>0</v>
      </c>
      <c r="E15" s="4">
        <f>(D15-G5)^2</f>
        <v>1.370460444</v>
      </c>
      <c r="G15" s="9"/>
    </row>
    <row r="16">
      <c r="B16" s="2">
        <v>13.0</v>
      </c>
      <c r="C16" s="2"/>
      <c r="D16" s="3">
        <f t="shared" si="1"/>
        <v>0</v>
      </c>
      <c r="E16" s="4">
        <f>(D16-G5)^2</f>
        <v>1.370460444</v>
      </c>
      <c r="G16" s="5" t="s">
        <v>13</v>
      </c>
    </row>
    <row r="17">
      <c r="B17" s="2">
        <v>14.0</v>
      </c>
      <c r="C17" s="2"/>
      <c r="D17" s="3">
        <f t="shared" si="1"/>
        <v>0</v>
      </c>
      <c r="E17" s="4">
        <f>(D17-G5)^2</f>
        <v>1.370460444</v>
      </c>
      <c r="G17" s="2">
        <v>9.806</v>
      </c>
    </row>
    <row r="18">
      <c r="B18" s="2">
        <v>15.0</v>
      </c>
      <c r="C18" s="2"/>
      <c r="D18" s="3">
        <f t="shared" si="1"/>
        <v>0</v>
      </c>
      <c r="E18" s="4">
        <f>(D18-G5)^2</f>
        <v>1.370460444</v>
      </c>
      <c r="G18" s="9"/>
    </row>
    <row r="19">
      <c r="G19" s="5" t="s">
        <v>14</v>
      </c>
    </row>
    <row r="20">
      <c r="G20" s="3">
        <f>G14-G17</f>
        <v>14.65485922</v>
      </c>
    </row>
    <row r="21">
      <c r="G21" s="9"/>
    </row>
  </sheetData>
  <mergeCells count="3">
    <mergeCell ref="I4:J4"/>
    <mergeCell ref="I8:J8"/>
    <mergeCell ref="I12:J12"/>
  </mergeCells>
  <drawing r:id="rId1"/>
</worksheet>
</file>