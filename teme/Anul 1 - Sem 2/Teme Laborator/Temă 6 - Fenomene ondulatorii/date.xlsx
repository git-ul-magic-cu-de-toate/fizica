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a 1" sheetId="1" r:id="rId4"/>
    <sheet state="visible" name="Partea 2" sheetId="2" r:id="rId5"/>
    <sheet state="visible" name="Partea 3" sheetId="3" r:id="rId6"/>
  </sheets>
  <definedNames/>
  <calcPr/>
</workbook>
</file>

<file path=xl/sharedStrings.xml><?xml version="1.0" encoding="utf-8"?>
<sst xmlns="http://schemas.openxmlformats.org/spreadsheetml/2006/main" count="37" uniqueCount="26">
  <si>
    <t>Nr. ctr.</t>
  </si>
  <si>
    <t>Frecvență (Hz)</t>
  </si>
  <si>
    <t>Lungimea de undă (cm)</t>
  </si>
  <si>
    <t>Viteza de fază (cm/s)</t>
  </si>
  <si>
    <t>(vi - vm)^2</t>
  </si>
  <si>
    <t>Media vitezelor de fază</t>
  </si>
  <si>
    <t>Eroarea standard a unei măsurători</t>
  </si>
  <si>
    <t>Perioadă (ms)</t>
  </si>
  <si>
    <t>Frecvență (kHz)</t>
  </si>
  <si>
    <t>Lungimea de undă (m)</t>
  </si>
  <si>
    <t>Viteza de fază (m/ms)</t>
  </si>
  <si>
    <t>Culoare</t>
  </si>
  <si>
    <t>Perioadă (fs)</t>
  </si>
  <si>
    <t>Frecvență (PHz)</t>
  </si>
  <si>
    <t>Lungimea de undă (nm)</t>
  </si>
  <si>
    <t>Viteza de fază (nm/fs)</t>
  </si>
  <si>
    <t>Cărămiziu</t>
  </si>
  <si>
    <t>Roșu (carmin)</t>
  </si>
  <si>
    <t>Portocaliu închis</t>
  </si>
  <si>
    <t>Galben topaz</t>
  </si>
  <si>
    <t>Verde amandă</t>
  </si>
  <si>
    <t>Verde gazon</t>
  </si>
  <si>
    <t>Azuriu (albastru deschis)</t>
  </si>
  <si>
    <t>Albastru închis (smalt)</t>
  </si>
  <si>
    <t>Violet (indigo)</t>
  </si>
  <si>
    <t>Magenta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</si>
</sst>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  <scheme val="minor"/>
    </font>
    <font>
      <b/>
      <i/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D6B2"/>
        <bgColor rgb="FFFFD6B2"/>
      </patternFill>
    </fill>
    <fill>
      <patternFill patternType="solid">
        <fgColor rgb="FFC6FFD4"/>
        <bgColor rgb="FFC6FFD4"/>
      </patternFill>
    </fill>
    <fill>
      <patternFill patternType="solid">
        <fgColor rgb="FFD9D9D9"/>
        <bgColor rgb="FFD9D9D9"/>
      </patternFill>
    </fill>
    <fill>
      <patternFill patternType="solid">
        <fgColor rgb="FFCC4125"/>
        <bgColor rgb="FFCC4125"/>
      </patternFill>
    </fill>
    <fill>
      <patternFill patternType="solid">
        <fgColor rgb="FFFF3726"/>
        <bgColor rgb="FFFF3726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9CFF01"/>
        <bgColor rgb="FF9CFF01"/>
      </patternFill>
    </fill>
    <fill>
      <patternFill patternType="solid">
        <fgColor rgb="FF53FF00"/>
        <bgColor rgb="FF53FF00"/>
      </patternFill>
    </fill>
    <fill>
      <patternFill patternType="solid">
        <fgColor rgb="FF00FFFF"/>
        <bgColor rgb="FF00FFFF"/>
      </patternFill>
    </fill>
    <fill>
      <patternFill patternType="solid">
        <fgColor rgb="FF4646FF"/>
        <bgColor rgb="FF4646FF"/>
      </patternFill>
    </fill>
    <fill>
      <patternFill patternType="solid">
        <fgColor rgb="FFAA2BFF"/>
        <bgColor rgb="FFAA2BFF"/>
      </patternFill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 vertical="bottom"/>
    </xf>
    <xf borderId="1" fillId="5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1" fillId="11" fontId="5" numFmtId="0" xfId="0" applyAlignment="1" applyBorder="1" applyFill="1" applyFont="1">
      <alignment horizontal="center" readingOrder="0"/>
    </xf>
    <xf borderId="1" fillId="12" fontId="6" numFmtId="0" xfId="0" applyAlignment="1" applyBorder="1" applyFill="1" applyFont="1">
      <alignment horizontal="center" readingOrder="0"/>
    </xf>
    <xf borderId="1" fillId="13" fontId="6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5" max="5" width="17.0"/>
    <col customWidth="1" min="7" max="7" width="15.5"/>
    <col customWidth="1" min="8" max="8" width="31.2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</row>
    <row r="4">
      <c r="B4" s="3">
        <v>1.0</v>
      </c>
      <c r="C4" s="3">
        <v>0.7</v>
      </c>
      <c r="D4" s="3">
        <v>5.35</v>
      </c>
      <c r="E4" s="4">
        <f t="shared" ref="E4:E13" si="1">C4*D4</f>
        <v>3.745</v>
      </c>
      <c r="F4" s="5">
        <f>(E4-H5)^2</f>
        <v>0.0040043584</v>
      </c>
      <c r="H4" s="6" t="s">
        <v>5</v>
      </c>
    </row>
    <row r="5">
      <c r="B5" s="3">
        <v>2.0</v>
      </c>
      <c r="C5" s="3">
        <v>0.83</v>
      </c>
      <c r="D5" s="3">
        <v>4.5</v>
      </c>
      <c r="E5" s="4">
        <f t="shared" si="1"/>
        <v>3.735</v>
      </c>
      <c r="F5" s="5">
        <f>(E5-H5)^2</f>
        <v>0.0028387584</v>
      </c>
      <c r="H5" s="7">
        <f>AVERAGE(E4:E13)</f>
        <v>3.68172</v>
      </c>
    </row>
    <row r="6">
      <c r="B6" s="3">
        <v>3.0</v>
      </c>
      <c r="C6" s="3">
        <v>0.95</v>
      </c>
      <c r="D6" s="3">
        <v>3.85</v>
      </c>
      <c r="E6" s="4">
        <f t="shared" si="1"/>
        <v>3.6575</v>
      </c>
      <c r="F6" s="5">
        <f>(E6-H5)^2</f>
        <v>0.0005866084</v>
      </c>
    </row>
    <row r="7">
      <c r="B7" s="3">
        <v>4.0</v>
      </c>
      <c r="C7" s="3">
        <v>1.13</v>
      </c>
      <c r="D7" s="3">
        <v>3.2</v>
      </c>
      <c r="E7" s="4">
        <f t="shared" si="1"/>
        <v>3.616</v>
      </c>
      <c r="F7" s="5">
        <f>(E7-H5)^2</f>
        <v>0.0043191184</v>
      </c>
      <c r="H7" s="6" t="s">
        <v>6</v>
      </c>
    </row>
    <row r="8">
      <c r="B8" s="3">
        <v>5.0</v>
      </c>
      <c r="C8" s="3">
        <v>1.24</v>
      </c>
      <c r="D8" s="3">
        <v>2.97</v>
      </c>
      <c r="E8" s="4">
        <f t="shared" si="1"/>
        <v>3.6828</v>
      </c>
      <c r="F8" s="5">
        <f>(E8-H5)^2</f>
        <v>0.0000011664</v>
      </c>
      <c r="H8" s="7">
        <f>SQRT(SUM(F4:F18)/9)</f>
        <v>0.05082488017</v>
      </c>
    </row>
    <row r="9">
      <c r="B9" s="3">
        <v>6.0</v>
      </c>
      <c r="C9" s="3">
        <v>1.46</v>
      </c>
      <c r="D9" s="3">
        <v>2.47</v>
      </c>
      <c r="E9" s="4">
        <f t="shared" si="1"/>
        <v>3.6062</v>
      </c>
      <c r="F9" s="5">
        <f>(E9-H5)^2</f>
        <v>0.0057032704</v>
      </c>
    </row>
    <row r="10">
      <c r="B10" s="3">
        <v>7.0</v>
      </c>
      <c r="C10" s="3">
        <v>1.59</v>
      </c>
      <c r="D10" s="3">
        <v>2.3</v>
      </c>
      <c r="E10" s="4">
        <f t="shared" si="1"/>
        <v>3.657</v>
      </c>
      <c r="F10" s="5">
        <f>(E10-H5)^2</f>
        <v>0.0006110784</v>
      </c>
      <c r="H10" s="6" t="s">
        <v>6</v>
      </c>
    </row>
    <row r="11">
      <c r="B11" s="3">
        <v>8.0</v>
      </c>
      <c r="C11" s="3">
        <v>1.82</v>
      </c>
      <c r="D11" s="3">
        <v>2.05</v>
      </c>
      <c r="E11" s="4">
        <f t="shared" si="1"/>
        <v>3.731</v>
      </c>
      <c r="F11" s="5">
        <f>(E11-H5)^2</f>
        <v>0.0024285184</v>
      </c>
      <c r="H11" s="7">
        <f>H8/SQRT(10)</f>
        <v>0.01607223831</v>
      </c>
    </row>
    <row r="12">
      <c r="B12" s="3">
        <v>9.0</v>
      </c>
      <c r="C12" s="3">
        <v>2.06</v>
      </c>
      <c r="D12" s="3">
        <v>1.81</v>
      </c>
      <c r="E12" s="4">
        <f t="shared" si="1"/>
        <v>3.7286</v>
      </c>
      <c r="F12" s="5">
        <f>(E12-H5)^2</f>
        <v>0.0021977344</v>
      </c>
    </row>
    <row r="13">
      <c r="B13" s="3">
        <v>10.0</v>
      </c>
      <c r="C13" s="3">
        <v>2.33</v>
      </c>
      <c r="D13" s="3">
        <v>1.57</v>
      </c>
      <c r="E13" s="4">
        <f t="shared" si="1"/>
        <v>3.6581</v>
      </c>
      <c r="F13" s="5">
        <f>(E13-H5)^2</f>
        <v>0.0005579044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  <col customWidth="1" min="5" max="5" width="21.13"/>
    <col customWidth="1" min="6" max="6" width="17.0"/>
    <col customWidth="1" min="8" max="8" width="15.5"/>
    <col customWidth="1" min="9" max="9" width="31.25"/>
  </cols>
  <sheetData>
    <row r="3">
      <c r="A3" s="8"/>
      <c r="B3" s="9" t="s">
        <v>0</v>
      </c>
      <c r="C3" s="9" t="s">
        <v>7</v>
      </c>
      <c r="D3" s="9" t="s">
        <v>8</v>
      </c>
      <c r="E3" s="9" t="s">
        <v>9</v>
      </c>
      <c r="F3" s="9" t="s">
        <v>10</v>
      </c>
      <c r="G3" s="2" t="s">
        <v>4</v>
      </c>
    </row>
    <row r="4">
      <c r="A4" s="10"/>
      <c r="B4" s="3">
        <v>1.0</v>
      </c>
      <c r="C4" s="10">
        <v>4.313</v>
      </c>
      <c r="D4" s="3">
        <f t="shared" ref="D4:D13" si="1">1/C4</f>
        <v>0.231857176</v>
      </c>
      <c r="E4" s="3">
        <v>2.203</v>
      </c>
      <c r="F4" s="4">
        <f t="shared" ref="F4:F13" si="2">D4*E4</f>
        <v>0.5107813587</v>
      </c>
      <c r="G4" s="5">
        <f>(F4-I5)^2</f>
        <v>0.00002173212913</v>
      </c>
      <c r="I4" s="6" t="s">
        <v>5</v>
      </c>
    </row>
    <row r="5">
      <c r="A5" s="10"/>
      <c r="B5" s="3">
        <v>2.0</v>
      </c>
      <c r="C5" s="3">
        <v>3.815</v>
      </c>
      <c r="D5" s="3">
        <f t="shared" si="1"/>
        <v>0.2621231979</v>
      </c>
      <c r="E5" s="3">
        <v>1.936</v>
      </c>
      <c r="F5" s="4">
        <f t="shared" si="2"/>
        <v>0.5074705111</v>
      </c>
      <c r="G5" s="5">
        <f>(F5-I5)^2</f>
        <v>0.000001825000062</v>
      </c>
      <c r="I5" s="7">
        <f>AVERAGE(F4:F13)</f>
        <v>0.5061195855</v>
      </c>
    </row>
    <row r="6">
      <c r="A6" s="10"/>
      <c r="B6" s="3">
        <v>3.0</v>
      </c>
      <c r="C6" s="3">
        <v>3.522</v>
      </c>
      <c r="D6" s="3">
        <f t="shared" si="1"/>
        <v>0.2839295855</v>
      </c>
      <c r="E6" s="3">
        <v>1.764</v>
      </c>
      <c r="F6" s="4">
        <f t="shared" si="2"/>
        <v>0.5008517888</v>
      </c>
      <c r="G6" s="5">
        <f>(F6-I5)^2</f>
        <v>0.00002774968262</v>
      </c>
    </row>
    <row r="7">
      <c r="A7" s="10"/>
      <c r="B7" s="3">
        <v>4.0</v>
      </c>
      <c r="C7" s="3">
        <v>3.25</v>
      </c>
      <c r="D7" s="3">
        <f t="shared" si="1"/>
        <v>0.3076923077</v>
      </c>
      <c r="E7" s="3">
        <v>1.656</v>
      </c>
      <c r="F7" s="4">
        <f t="shared" si="2"/>
        <v>0.5095384615</v>
      </c>
      <c r="G7" s="5">
        <f>(F7-I5)^2</f>
        <v>0.00001168871331</v>
      </c>
      <c r="I7" s="6" t="s">
        <v>6</v>
      </c>
    </row>
    <row r="8">
      <c r="A8" s="10"/>
      <c r="B8" s="3">
        <v>5.0</v>
      </c>
      <c r="C8" s="3">
        <v>3.011</v>
      </c>
      <c r="D8" s="3">
        <f t="shared" si="1"/>
        <v>0.3321155762</v>
      </c>
      <c r="E8" s="3">
        <v>1.534</v>
      </c>
      <c r="F8" s="4">
        <f t="shared" si="2"/>
        <v>0.5094652939</v>
      </c>
      <c r="G8" s="5">
        <f>(F8-I5)^2</f>
        <v>0.00001119376479</v>
      </c>
      <c r="I8" s="7">
        <f>SQRT(SUM(G4:G18)/9)</f>
        <v>0.003271685328</v>
      </c>
    </row>
    <row r="9">
      <c r="A9" s="10"/>
      <c r="B9" s="3">
        <v>6.0</v>
      </c>
      <c r="C9" s="3">
        <v>2.884</v>
      </c>
      <c r="D9" s="3">
        <f t="shared" si="1"/>
        <v>0.346740638</v>
      </c>
      <c r="E9" s="3">
        <v>1.456</v>
      </c>
      <c r="F9" s="4">
        <f t="shared" si="2"/>
        <v>0.5048543689</v>
      </c>
      <c r="G9" s="5">
        <f>(F9-I5)^2</f>
        <v>0.000001600772986</v>
      </c>
    </row>
    <row r="10">
      <c r="A10" s="10"/>
      <c r="B10" s="3">
        <v>7.0</v>
      </c>
      <c r="C10" s="3">
        <v>2.665</v>
      </c>
      <c r="D10" s="3">
        <f t="shared" si="1"/>
        <v>0.3752345216</v>
      </c>
      <c r="E10" s="3">
        <v>1.338</v>
      </c>
      <c r="F10" s="4">
        <f t="shared" si="2"/>
        <v>0.5020637899</v>
      </c>
      <c r="G10" s="5">
        <f>(F10-I5)^2</f>
        <v>0.00001644947827</v>
      </c>
      <c r="I10" s="6" t="s">
        <v>6</v>
      </c>
    </row>
    <row r="11">
      <c r="A11" s="10"/>
      <c r="B11" s="3">
        <v>8.0</v>
      </c>
      <c r="C11" s="3">
        <v>2.446</v>
      </c>
      <c r="D11" s="3">
        <f t="shared" si="1"/>
        <v>0.4088307441</v>
      </c>
      <c r="E11" s="3">
        <v>1.234</v>
      </c>
      <c r="F11" s="4">
        <f t="shared" si="2"/>
        <v>0.5044971382</v>
      </c>
      <c r="G11" s="5">
        <f>(F11-I5)^2</f>
        <v>0.000002632335319</v>
      </c>
      <c r="I11" s="7">
        <f>I8/SQRT(10)</f>
        <v>0.001034597742</v>
      </c>
    </row>
    <row r="12">
      <c r="A12" s="10"/>
      <c r="B12" s="3">
        <v>9.0</v>
      </c>
      <c r="C12" s="3">
        <v>2.386</v>
      </c>
      <c r="D12" s="3">
        <f t="shared" si="1"/>
        <v>0.4191114837</v>
      </c>
      <c r="E12" s="3">
        <v>1.205</v>
      </c>
      <c r="F12" s="4">
        <f t="shared" si="2"/>
        <v>0.5050293378</v>
      </c>
      <c r="G12" s="5">
        <f>(F12-I5)^2</f>
        <v>0.000001188640058</v>
      </c>
    </row>
    <row r="13">
      <c r="A13" s="10"/>
      <c r="B13" s="3">
        <v>10.0</v>
      </c>
      <c r="C13" s="3">
        <v>2.333</v>
      </c>
      <c r="D13" s="3">
        <f t="shared" si="1"/>
        <v>0.4286326618</v>
      </c>
      <c r="E13" s="3">
        <v>1.182</v>
      </c>
      <c r="F13" s="4">
        <f t="shared" si="2"/>
        <v>0.5066438063</v>
      </c>
      <c r="G13" s="5">
        <f>(F13-I5)^2</f>
        <v>0.000000274807394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6.5"/>
    <col customWidth="1" min="3" max="3" width="21.25"/>
    <col customWidth="1" min="5" max="5" width="15.0"/>
    <col customWidth="1" min="6" max="6" width="21.13"/>
    <col customWidth="1" min="7" max="7" width="17.0"/>
    <col customWidth="1" min="9" max="9" width="15.5"/>
    <col customWidth="1" min="10" max="10" width="31.25"/>
  </cols>
  <sheetData>
    <row r="3">
      <c r="A3" s="8"/>
      <c r="B3" s="11" t="s">
        <v>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2" t="s">
        <v>4</v>
      </c>
    </row>
    <row r="4">
      <c r="A4" s="10"/>
      <c r="B4" s="3">
        <v>1.0</v>
      </c>
      <c r="C4" s="13" t="s">
        <v>16</v>
      </c>
      <c r="D4" s="10">
        <v>2.62</v>
      </c>
      <c r="E4" s="3">
        <f t="shared" ref="E4:E13" si="1">1/D4</f>
        <v>0.3816793893</v>
      </c>
      <c r="F4" s="3">
        <v>1180.6</v>
      </c>
      <c r="G4" s="4">
        <f t="shared" ref="G4:G13" si="2">E4*F4</f>
        <v>450.610687</v>
      </c>
      <c r="H4" s="5">
        <f>(G4-J5)^2</f>
        <v>72.28412811</v>
      </c>
      <c r="J4" s="6" t="s">
        <v>5</v>
      </c>
    </row>
    <row r="5">
      <c r="A5" s="10"/>
      <c r="B5" s="3">
        <v>2.0</v>
      </c>
      <c r="C5" s="14" t="s">
        <v>17</v>
      </c>
      <c r="D5" s="3">
        <v>2.338</v>
      </c>
      <c r="E5" s="3">
        <f t="shared" si="1"/>
        <v>0.4277159966</v>
      </c>
      <c r="F5" s="3">
        <v>1030.2</v>
      </c>
      <c r="G5" s="4">
        <f t="shared" si="2"/>
        <v>440.6330197</v>
      </c>
      <c r="H5" s="5">
        <f>(G5-J5)^2</f>
        <v>2.177572581</v>
      </c>
      <c r="J5" s="7">
        <f>AVERAGE(G4:G13)</f>
        <v>442.1086797</v>
      </c>
    </row>
    <row r="6">
      <c r="A6" s="10"/>
      <c r="B6" s="3">
        <v>3.0</v>
      </c>
      <c r="C6" s="15" t="s">
        <v>18</v>
      </c>
      <c r="D6" s="3">
        <v>2.087</v>
      </c>
      <c r="E6" s="3">
        <f t="shared" si="1"/>
        <v>0.4791566842</v>
      </c>
      <c r="F6" s="3">
        <v>922.7</v>
      </c>
      <c r="G6" s="4">
        <f t="shared" si="2"/>
        <v>442.1178725</v>
      </c>
      <c r="H6" s="5">
        <f>(G6-J5)^2</f>
        <v>0.00008450794427</v>
      </c>
    </row>
    <row r="7">
      <c r="A7" s="10"/>
      <c r="B7" s="3">
        <v>4.0</v>
      </c>
      <c r="C7" s="16" t="s">
        <v>19</v>
      </c>
      <c r="D7" s="3">
        <v>1.965</v>
      </c>
      <c r="E7" s="3">
        <f t="shared" si="1"/>
        <v>0.5089058524</v>
      </c>
      <c r="F7" s="3">
        <v>865.4</v>
      </c>
      <c r="G7" s="4">
        <f t="shared" si="2"/>
        <v>440.4071247</v>
      </c>
      <c r="H7" s="5">
        <f>(G7-J5)^2</f>
        <v>2.895289561</v>
      </c>
      <c r="J7" s="6" t="s">
        <v>6</v>
      </c>
    </row>
    <row r="8">
      <c r="A8" s="10"/>
      <c r="B8" s="3">
        <v>5.0</v>
      </c>
      <c r="C8" s="17" t="s">
        <v>20</v>
      </c>
      <c r="D8" s="3">
        <v>1.874</v>
      </c>
      <c r="E8" s="3">
        <f t="shared" si="1"/>
        <v>0.5336179296</v>
      </c>
      <c r="F8" s="3">
        <v>815.5</v>
      </c>
      <c r="G8" s="4">
        <f t="shared" si="2"/>
        <v>435.1654216</v>
      </c>
      <c r="H8" s="5">
        <f>(G8-J5)^2</f>
        <v>48.20883396</v>
      </c>
      <c r="J8" s="7">
        <f>SQRT(SUM(H4:H18)/9)</f>
        <v>8.507233253</v>
      </c>
    </row>
    <row r="9">
      <c r="A9" s="10"/>
      <c r="B9" s="3">
        <v>6.0</v>
      </c>
      <c r="C9" s="18" t="s">
        <v>21</v>
      </c>
      <c r="D9" s="3">
        <v>1.782</v>
      </c>
      <c r="E9" s="3">
        <f t="shared" si="1"/>
        <v>0.5611672278</v>
      </c>
      <c r="F9" s="3">
        <v>800.9</v>
      </c>
      <c r="G9" s="4">
        <f t="shared" si="2"/>
        <v>449.4388328</v>
      </c>
      <c r="H9" s="5">
        <f>(G9-J5)^2</f>
        <v>53.73114371</v>
      </c>
    </row>
    <row r="10">
      <c r="A10" s="10"/>
      <c r="B10" s="3">
        <v>7.0</v>
      </c>
      <c r="C10" s="19" t="s">
        <v>22</v>
      </c>
      <c r="D10" s="3">
        <v>1.653</v>
      </c>
      <c r="E10" s="3">
        <f t="shared" si="1"/>
        <v>0.6049606776</v>
      </c>
      <c r="F10" s="3">
        <v>700.7</v>
      </c>
      <c r="G10" s="4">
        <f t="shared" si="2"/>
        <v>423.8959468</v>
      </c>
      <c r="H10" s="5">
        <f>(G10-J5)^2</f>
        <v>331.7036419</v>
      </c>
      <c r="J10" s="6" t="s">
        <v>6</v>
      </c>
    </row>
    <row r="11">
      <c r="A11" s="10"/>
      <c r="B11" s="3">
        <v>8.0</v>
      </c>
      <c r="C11" s="20" t="s">
        <v>23</v>
      </c>
      <c r="D11" s="3">
        <v>1.546</v>
      </c>
      <c r="E11" s="3">
        <f t="shared" si="1"/>
        <v>0.6468305304</v>
      </c>
      <c r="F11" s="3">
        <v>679.3</v>
      </c>
      <c r="G11" s="4">
        <f t="shared" si="2"/>
        <v>439.3919793</v>
      </c>
      <c r="H11" s="5">
        <f>(G11-J5)^2</f>
        <v>7.380461186</v>
      </c>
      <c r="J11" s="7">
        <f>J8/SQRT(10)</f>
        <v>2.690223367</v>
      </c>
    </row>
    <row r="12">
      <c r="A12" s="10"/>
      <c r="B12" s="3">
        <v>9.0</v>
      </c>
      <c r="C12" s="21" t="s">
        <v>24</v>
      </c>
      <c r="D12" s="3">
        <v>1.424</v>
      </c>
      <c r="E12" s="3">
        <f t="shared" si="1"/>
        <v>0.702247191</v>
      </c>
      <c r="F12" s="3">
        <v>636.2</v>
      </c>
      <c r="G12" s="4">
        <f t="shared" si="2"/>
        <v>446.7696629</v>
      </c>
      <c r="H12" s="5">
        <f>(G12-J5)^2</f>
        <v>21.72476437</v>
      </c>
    </row>
    <row r="13">
      <c r="A13" s="10"/>
      <c r="B13" s="3">
        <v>10.0</v>
      </c>
      <c r="C13" s="22" t="s">
        <v>25</v>
      </c>
      <c r="D13" s="3">
        <v>1.28</v>
      </c>
      <c r="E13" s="3">
        <f t="shared" si="1"/>
        <v>0.78125</v>
      </c>
      <c r="F13" s="3">
        <v>579.4</v>
      </c>
      <c r="G13" s="4">
        <f t="shared" si="2"/>
        <v>452.65625</v>
      </c>
      <c r="H13" s="5">
        <f>(G13-J5)^2</f>
        <v>111.2512387</v>
      </c>
    </row>
  </sheetData>
  <drawing r:id="rId1"/>
</worksheet>
</file>